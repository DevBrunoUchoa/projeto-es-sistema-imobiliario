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T - Entrega 3" sheetId="1" state="visible" r:id="rId1"/>
    <sheet xmlns:r="http://schemas.openxmlformats.org/officeDocument/2006/relationships" name="Como us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20" customWidth="1" min="3" max="3"/>
    <col width="12" customWidth="1" min="4" max="4"/>
    <col width="15" customWidth="1" min="5" max="5"/>
    <col width="13" customWidth="1" min="6" max="6"/>
    <col width="20" customWidth="1" min="7" max="7"/>
    <col width="14" customWidth="1" min="8" max="8"/>
    <col width="10" customWidth="1" min="9" max="9"/>
  </cols>
  <sheetData>
    <row r="1">
      <c r="A1" s="1" t="inlineStr">
        <is>
          <t>ID</t>
        </is>
      </c>
      <c r="B1" s="1" t="inlineStr">
        <is>
          <t>Atividade</t>
        </is>
      </c>
      <c r="C1" s="1" t="inlineStr">
        <is>
          <t>Responsável(is)</t>
        </is>
      </c>
      <c r="D1" s="1" t="inlineStr">
        <is>
          <t>Otimista (O)</t>
        </is>
      </c>
      <c r="E1" s="1" t="inlineStr">
        <is>
          <t>Mais Provável (M)</t>
        </is>
      </c>
      <c r="F1" s="1" t="inlineStr">
        <is>
          <t>Pessimista (P)</t>
        </is>
      </c>
      <c r="G1" s="1" t="inlineStr">
        <is>
          <t>Esperado = (O+4M+P)/6</t>
        </is>
      </c>
      <c r="H1" s="1" t="inlineStr">
        <is>
          <t>Desvio = (P-O)/6</t>
        </is>
      </c>
      <c r="I1" s="1" t="inlineStr">
        <is>
          <t>Status</t>
        </is>
      </c>
    </row>
    <row r="2">
      <c r="A2" t="inlineStr">
        <is>
          <t>T5.10</t>
        </is>
      </c>
      <c r="B2" t="inlineStr">
        <is>
          <t>Testes automatizados + cobertura (JaCoCo)</t>
        </is>
      </c>
      <c r="C2" t="inlineStr">
        <is>
          <t>Gabriel</t>
        </is>
      </c>
      <c r="D2" t="n">
        <v>0</v>
      </c>
      <c r="E2" t="n">
        <v>0</v>
      </c>
      <c r="F2" t="n">
        <v>0</v>
      </c>
      <c r="G2">
        <f>(D2+4*E2+F2)/6</f>
        <v/>
      </c>
      <c r="H2">
        <f>(F2-D2)/6</f>
        <v/>
      </c>
      <c r="I2" t="inlineStr">
        <is>
          <t>A fazer</t>
        </is>
      </c>
    </row>
    <row r="3">
      <c r="A3" t="inlineStr">
        <is>
          <t>EF</t>
        </is>
      </c>
      <c r="B3" t="inlineStr">
        <is>
          <t>Especificação Formal (Alloy)</t>
        </is>
      </c>
      <c r="C3" t="inlineStr">
        <is>
          <t>—</t>
        </is>
      </c>
      <c r="D3" t="n">
        <v>0</v>
      </c>
      <c r="E3" t="n">
        <v>0</v>
      </c>
      <c r="F3" t="n">
        <v>0</v>
      </c>
      <c r="G3">
        <f>(D3+4*E3+F3)/6</f>
        <v/>
      </c>
      <c r="H3">
        <f>(F3-D3)/6</f>
        <v/>
      </c>
      <c r="I3" t="inlineStr">
        <is>
          <t>A fazer</t>
        </is>
      </c>
    </row>
    <row r="4">
      <c r="A4" t="inlineStr">
        <is>
          <t>AE</t>
        </is>
      </c>
      <c r="B4" t="inlineStr">
        <is>
          <t>Análise Estática (Checkstyle/SonarQube)</t>
        </is>
      </c>
      <c r="C4" t="inlineStr">
        <is>
          <t>—</t>
        </is>
      </c>
      <c r="D4" t="n">
        <v>0</v>
      </c>
      <c r="E4" t="n">
        <v>0</v>
      </c>
      <c r="F4" t="n">
        <v>0</v>
      </c>
      <c r="G4">
        <f>(D4+4*E4+F4)/6</f>
        <v/>
      </c>
      <c r="H4">
        <f>(F4-D4)/6</f>
        <v/>
      </c>
      <c r="I4" t="inlineStr">
        <is>
          <t>A fazer</t>
        </is>
      </c>
    </row>
    <row r="5">
      <c r="A5" t="inlineStr">
        <is>
          <t>API</t>
        </is>
      </c>
      <c r="B5" t="inlineStr">
        <is>
          <t>Documentação da API (OpenAPI/Redoc)</t>
        </is>
      </c>
      <c r="C5" t="inlineStr">
        <is>
          <t>—</t>
        </is>
      </c>
      <c r="D5" t="n">
        <v>0</v>
      </c>
      <c r="E5" t="n">
        <v>0</v>
      </c>
      <c r="F5" t="n">
        <v>0</v>
      </c>
      <c r="G5">
        <f>(D5+4*E5+F5)/6</f>
        <v/>
      </c>
      <c r="H5">
        <f>(F5-D5)/6</f>
        <v/>
      </c>
      <c r="I5" t="inlineStr">
        <is>
          <t>A fazer</t>
        </is>
      </c>
    </row>
    <row r="6">
      <c r="A6" t="inlineStr">
        <is>
          <t>MOD</t>
        </is>
      </c>
      <c r="B6" t="inlineStr">
        <is>
          <t>Diagrama de classes / Modelagem</t>
        </is>
      </c>
      <c r="C6" t="inlineStr">
        <is>
          <t>—</t>
        </is>
      </c>
      <c r="D6" t="n">
        <v>0</v>
      </c>
      <c r="E6" t="n">
        <v>0</v>
      </c>
      <c r="F6" t="n">
        <v>0</v>
      </c>
      <c r="G6">
        <f>(D6+4*E6+F6)/6</f>
        <v/>
      </c>
      <c r="H6">
        <f>(F6-D6)/6</f>
        <v/>
      </c>
      <c r="I6" t="inlineStr">
        <is>
          <t>A fazer</t>
        </is>
      </c>
    </row>
    <row r="7">
      <c r="A7" t="inlineStr">
        <is>
          <t>TL</t>
        </is>
      </c>
      <c r="B7" t="inlineStr">
        <is>
          <t>Plano de testes (TestLink)</t>
        </is>
      </c>
      <c r="C7" t="inlineStr">
        <is>
          <t>—</t>
        </is>
      </c>
      <c r="D7" t="n">
        <v>0</v>
      </c>
      <c r="E7" t="n">
        <v>0</v>
      </c>
      <c r="F7" t="n">
        <v>0</v>
      </c>
      <c r="G7">
        <f>(D7+4*E7+F7)/6</f>
        <v/>
      </c>
      <c r="H7">
        <f>(F7-D7)/6</f>
        <v/>
      </c>
      <c r="I7" t="inlineStr">
        <is>
          <t>A fazer</t>
        </is>
      </c>
    </row>
    <row r="8">
      <c r="A8" t="inlineStr">
        <is>
          <t>GEO</t>
        </is>
      </c>
      <c r="B8" t="inlineStr">
        <is>
          <t>Melhorias de geolocalização (cache/async/CEP)</t>
        </is>
      </c>
      <c r="C8" t="inlineStr">
        <is>
          <t>Pedro</t>
        </is>
      </c>
      <c r="D8" t="n">
        <v>0</v>
      </c>
      <c r="E8" t="n">
        <v>0</v>
      </c>
      <c r="F8" t="n">
        <v>0</v>
      </c>
      <c r="G8">
        <f>(D8+4*E8+F8)/6</f>
        <v/>
      </c>
      <c r="H8">
        <f>(F8-D8)/6</f>
        <v/>
      </c>
      <c r="I8" t="inlineStr">
        <is>
          <t>A fazer</t>
        </is>
      </c>
    </row>
    <row r="9">
      <c r="A9" t="inlineStr">
        <is>
          <t>DOC</t>
        </is>
      </c>
      <c r="B9" t="inlineStr">
        <is>
          <t>Documento (seções 5–8) e revisão</t>
        </is>
      </c>
      <c r="C9" t="inlineStr">
        <is>
          <t>—</t>
        </is>
      </c>
      <c r="D9" t="n">
        <v>0</v>
      </c>
      <c r="E9" t="n">
        <v>0</v>
      </c>
      <c r="F9" t="n">
        <v>0</v>
      </c>
      <c r="G9">
        <f>(D9+4*E9+F9)/6</f>
        <v/>
      </c>
      <c r="H9">
        <f>(F9-D9)/6</f>
        <v/>
      </c>
      <c r="I9" t="inlineStr">
        <is>
          <t>A fazer</t>
        </is>
      </c>
    </row>
    <row r="10">
      <c r="A10" t="inlineStr">
        <is>
          <t>FRONT</t>
        </is>
      </c>
      <c r="B10" t="inlineStr">
        <is>
          <t>Frontend: telas, integração e lint</t>
        </is>
      </c>
      <c r="C10" t="inlineStr">
        <is>
          <t>Equipe front</t>
        </is>
      </c>
      <c r="D10" t="n">
        <v>0</v>
      </c>
      <c r="E10" t="n">
        <v>0</v>
      </c>
      <c r="F10" t="n">
        <v>0</v>
      </c>
      <c r="G10">
        <f>(D10+4*E10+F10)/6</f>
        <v/>
      </c>
      <c r="H10">
        <f>(F10-D10)/6</f>
        <v/>
      </c>
      <c r="I10" t="inlineStr">
        <is>
          <t>A fazer</t>
        </is>
      </c>
    </row>
    <row r="11">
      <c r="A11" t="inlineStr">
        <is>
          <t>VID</t>
        </is>
      </c>
      <c r="B11" t="inlineStr">
        <is>
          <t>Vídeos de demonstração (estudante/locador)</t>
        </is>
      </c>
      <c r="C11" t="inlineStr">
        <is>
          <t>—</t>
        </is>
      </c>
      <c r="D11" t="n">
        <v>0</v>
      </c>
      <c r="E11" t="n">
        <v>0</v>
      </c>
      <c r="F11" t="n">
        <v>0</v>
      </c>
      <c r="G11">
        <f>(D11+4*E11+F11)/6</f>
        <v/>
      </c>
      <c r="H11">
        <f>(F11-D11)/6</f>
        <v/>
      </c>
      <c r="I11" t="inlineStr">
        <is>
          <t>A fazer</t>
        </is>
      </c>
    </row>
    <row r="12">
      <c r="A12" t="inlineStr">
        <is>
          <t>DEPLOY</t>
        </is>
      </c>
      <c r="B12" t="inlineStr">
        <is>
          <t>Deploy (Render/Supabase) + HTTPS</t>
        </is>
      </c>
      <c r="C12" t="inlineStr">
        <is>
          <t>—</t>
        </is>
      </c>
      <c r="D12" t="n">
        <v>0</v>
      </c>
      <c r="E12" t="n">
        <v>0</v>
      </c>
      <c r="F12" t="n">
        <v>0</v>
      </c>
      <c r="G12">
        <f>(D12+4*E12+F12)/6</f>
        <v/>
      </c>
      <c r="H12">
        <f>(F12-D12)/6</f>
        <v/>
      </c>
      <c r="I12" t="inlineStr">
        <is>
          <t>A fazer</t>
        </is>
      </c>
    </row>
    <row r="13">
      <c r="A13" t="inlineStr"/>
      <c r="B13" s="2" t="inlineStr">
        <is>
          <t>TOTAL (horas esperadas)</t>
        </is>
      </c>
      <c r="C13" t="inlineStr"/>
      <c r="D13" t="inlineStr"/>
      <c r="E13" t="inlineStr"/>
      <c r="F13" t="inlineStr"/>
      <c r="G13" s="2">
        <f>SUM(G2:G12)</f>
        <v/>
      </c>
      <c r="H13" t="inlineStr"/>
      <c r="I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Estimativa PERT — Entrega 3</t>
        </is>
      </c>
    </row>
    <row r="2">
      <c r="A2" t="inlineStr"/>
    </row>
    <row r="3">
      <c r="A3" t="inlineStr">
        <is>
          <t>Preencha, para cada atividade, as horas: Otimista (O), Mais Provável (M) e Pessimista (P).</t>
        </is>
      </c>
    </row>
    <row r="4">
      <c r="A4" t="inlineStr">
        <is>
          <t>As colunas Esperado e Desvio são calculadas automaticamente:</t>
        </is>
      </c>
    </row>
    <row r="5">
      <c r="A5" t="inlineStr">
        <is>
          <t xml:space="preserve">   Esperado = (O + 4M + P) / 6      Desvio = (P - O) / 6</t>
        </is>
      </c>
    </row>
    <row r="6">
      <c r="A6" t="inlineStr">
        <is>
          <t>O TOTAL soma as horas esperadas de todas as atividades.</t>
        </is>
      </c>
    </row>
    <row r="7">
      <c r="A7" t="inlineStr">
        <is>
          <t>Ajuste/adicione linhas conforme a divisão real da equipe.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2026-07-15T00:03:30Z</dcterms:created>
  <dcterms:modified xmlns:dcterms="http://purl.org/dc/terms/" xmlns:xsi="http://www.w3.org/2001/XMLSchema-instance" xsi:type="dcterms:W3CDTF">2026-07-15T00:03:30Z</dcterms:modified>
</cp:coreProperties>
</file>